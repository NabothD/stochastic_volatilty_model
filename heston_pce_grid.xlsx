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nd821_ic_ac_uk/Documents/Year 4/FYP/FYP Coding/"/>
    </mc:Choice>
  </mc:AlternateContent>
  <xr:revisionPtr revIDLastSave="32" documentId="8_{1154E5AC-827A-4ED8-9547-8DBFB8971E2C}" xr6:coauthVersionLast="47" xr6:coauthVersionMax="47" xr10:uidLastSave="{D4AFB9A3-CB08-4208-8BA4-4B494F5889ED}"/>
  <bookViews>
    <workbookView xWindow="-108" yWindow="-108" windowWidth="23256" windowHeight="13896" xr2:uid="{F7C89ACE-CD4B-43DA-8DBB-24451E184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30" i="1"/>
  <c r="H31" i="1"/>
  <c r="H32" i="1"/>
  <c r="H33" i="1"/>
  <c r="H34" i="1"/>
  <c r="H35" i="1"/>
  <c r="H36" i="1"/>
  <c r="H37" i="1"/>
  <c r="H3" i="1"/>
  <c r="H2" i="1"/>
</calcChain>
</file>

<file path=xl/sharedStrings.xml><?xml version="1.0" encoding="utf-8"?>
<sst xmlns="http://schemas.openxmlformats.org/spreadsheetml/2006/main" count="8" uniqueCount="8">
  <si>
    <t>Strike</t>
  </si>
  <si>
    <t>Expiry</t>
  </si>
  <si>
    <t>Heston</t>
  </si>
  <si>
    <t>Bates</t>
  </si>
  <si>
    <t>Intrinsic</t>
  </si>
  <si>
    <t>QuotedPrice</t>
  </si>
  <si>
    <t>S_0</t>
  </si>
  <si>
    <t>S_expiry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</si>
</sst>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Heston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Sheet1!$B$2:$B$13</c:f>
              <c:numCache>
                <c:formatCode>General</c:formatCode>
                <c:ptCount val="12"/>
                <c:pt idx="0">
                  <c:v>395</c:v>
                </c:pt>
                <c:pt idx="1">
                  <c:v>400</c:v>
                </c:pt>
                <c:pt idx="2">
                  <c:v>405</c:v>
                </c:pt>
                <c:pt idx="3">
                  <c:v>410</c:v>
                </c:pt>
                <c:pt idx="4">
                  <c:v>415</c:v>
                </c:pt>
                <c:pt idx="5">
                  <c:v>420</c:v>
                </c:pt>
                <c:pt idx="6">
                  <c:v>425</c:v>
                </c:pt>
                <c:pt idx="7">
                  <c:v>430</c:v>
                </c:pt>
                <c:pt idx="8">
                  <c:v>435</c:v>
                </c:pt>
                <c:pt idx="9">
                  <c:v>440</c:v>
                </c:pt>
                <c:pt idx="10">
                  <c:v>445</c:v>
                </c:pt>
                <c:pt idx="11">
                  <c:v>450</c:v>
                </c:pt>
              </c:numCache>
            </c:numRef>
          </c:xVal>
          <c:yVal>
            <c:numRef>
              <c:f>Sheet1!$E$2:$E$13</c:f>
              <c:numCache>
                <c:formatCode>General</c:formatCode>
                <c:ptCount val="12"/>
                <c:pt idx="0">
                  <c:v>31.12</c:v>
                </c:pt>
                <c:pt idx="1">
                  <c:v>26.72</c:v>
                </c:pt>
                <c:pt idx="2">
                  <c:v>22.57</c:v>
                </c:pt>
                <c:pt idx="3">
                  <c:v>18.72</c:v>
                </c:pt>
                <c:pt idx="4">
                  <c:v>15.23</c:v>
                </c:pt>
                <c:pt idx="5">
                  <c:v>12.14</c:v>
                </c:pt>
                <c:pt idx="6">
                  <c:v>9.4700000000000006</c:v>
                </c:pt>
                <c:pt idx="7">
                  <c:v>7.22</c:v>
                </c:pt>
                <c:pt idx="8">
                  <c:v>5.39</c:v>
                </c:pt>
                <c:pt idx="9">
                  <c:v>3.93</c:v>
                </c:pt>
                <c:pt idx="10">
                  <c:v>2.8</c:v>
                </c:pt>
                <c:pt idx="11">
                  <c:v>1.95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FD-4D4E-8830-0D57851D5F5C}"/>
            </c:ext>
          </c:extLst>
        </c:ser>
        <c:ser>
          <c:idx val="1"/>
          <c:order val="1"/>
          <c:tx>
            <c:v>Intrincic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Sheet1!$B$2:$B$13</c:f>
              <c:numCache>
                <c:formatCode>General</c:formatCode>
                <c:ptCount val="12"/>
                <c:pt idx="0">
                  <c:v>395</c:v>
                </c:pt>
                <c:pt idx="1">
                  <c:v>400</c:v>
                </c:pt>
                <c:pt idx="2">
                  <c:v>405</c:v>
                </c:pt>
                <c:pt idx="3">
                  <c:v>410</c:v>
                </c:pt>
                <c:pt idx="4">
                  <c:v>415</c:v>
                </c:pt>
                <c:pt idx="5">
                  <c:v>420</c:v>
                </c:pt>
                <c:pt idx="6">
                  <c:v>425</c:v>
                </c:pt>
                <c:pt idx="7">
                  <c:v>430</c:v>
                </c:pt>
                <c:pt idx="8">
                  <c:v>435</c:v>
                </c:pt>
                <c:pt idx="9">
                  <c:v>440</c:v>
                </c:pt>
                <c:pt idx="10">
                  <c:v>445</c:v>
                </c:pt>
                <c:pt idx="11">
                  <c:v>450</c:v>
                </c:pt>
              </c:numCache>
            </c:numRef>
          </c:xVal>
          <c:yVal>
            <c:numRef>
              <c:f>Sheet1!$H$2:$H$13</c:f>
              <c:numCache>
                <c:formatCode>General</c:formatCode>
                <c:ptCount val="12"/>
                <c:pt idx="0">
                  <c:v>50.04345555285802</c:v>
                </c:pt>
                <c:pt idx="1">
                  <c:v>45.05904762926658</c:v>
                </c:pt>
                <c:pt idx="2">
                  <c:v>40.074639705675146</c:v>
                </c:pt>
                <c:pt idx="3">
                  <c:v>35.090231782083706</c:v>
                </c:pt>
                <c:pt idx="4">
                  <c:v>30.105823858492272</c:v>
                </c:pt>
                <c:pt idx="5">
                  <c:v>25.121415934900831</c:v>
                </c:pt>
                <c:pt idx="6">
                  <c:v>20.137008011309394</c:v>
                </c:pt>
                <c:pt idx="7">
                  <c:v>15.152600087717959</c:v>
                </c:pt>
                <c:pt idx="8">
                  <c:v>10.168192164126522</c:v>
                </c:pt>
                <c:pt idx="9">
                  <c:v>5.1837842405350836</c:v>
                </c:pt>
                <c:pt idx="10">
                  <c:v>0.19937631694364616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FD-4D4E-8830-0D57851D5F5C}"/>
            </c:ext>
          </c:extLst>
        </c:ser>
        <c:ser>
          <c:idx val="2"/>
          <c:order val="2"/>
          <c:tx>
            <c:v>Quoted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Sheet1!$B$2:$B$13</c:f>
              <c:numCache>
                <c:formatCode>General</c:formatCode>
                <c:ptCount val="12"/>
                <c:pt idx="0">
                  <c:v>395</c:v>
                </c:pt>
                <c:pt idx="1">
                  <c:v>400</c:v>
                </c:pt>
                <c:pt idx="2">
                  <c:v>405</c:v>
                </c:pt>
                <c:pt idx="3">
                  <c:v>410</c:v>
                </c:pt>
                <c:pt idx="4">
                  <c:v>415</c:v>
                </c:pt>
                <c:pt idx="5">
                  <c:v>420</c:v>
                </c:pt>
                <c:pt idx="6">
                  <c:v>425</c:v>
                </c:pt>
                <c:pt idx="7">
                  <c:v>430</c:v>
                </c:pt>
                <c:pt idx="8">
                  <c:v>435</c:v>
                </c:pt>
                <c:pt idx="9">
                  <c:v>440</c:v>
                </c:pt>
                <c:pt idx="10">
                  <c:v>445</c:v>
                </c:pt>
                <c:pt idx="11">
                  <c:v>450</c:v>
                </c:pt>
              </c:numCache>
            </c:numRef>
          </c:xVal>
          <c:yVal>
            <c:numRef>
              <c:f>Sheet1!$D$2:$D$13</c:f>
              <c:numCache>
                <c:formatCode>General</c:formatCode>
                <c:ptCount val="12"/>
                <c:pt idx="0">
                  <c:v>30.75</c:v>
                </c:pt>
                <c:pt idx="1">
                  <c:v>25.88</c:v>
                </c:pt>
                <c:pt idx="2">
                  <c:v>21</c:v>
                </c:pt>
                <c:pt idx="3">
                  <c:v>16.5</c:v>
                </c:pt>
                <c:pt idx="4">
                  <c:v>11.88</c:v>
                </c:pt>
                <c:pt idx="5">
                  <c:v>7.69</c:v>
                </c:pt>
                <c:pt idx="6">
                  <c:v>4.4400000000000004</c:v>
                </c:pt>
                <c:pt idx="7">
                  <c:v>2.1</c:v>
                </c:pt>
                <c:pt idx="8">
                  <c:v>0.78</c:v>
                </c:pt>
                <c:pt idx="9">
                  <c:v>0.25</c:v>
                </c:pt>
                <c:pt idx="10" formatCode="0.00">
                  <c:v>0.1</c:v>
                </c:pt>
                <c:pt idx="11" formatCode="0.0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FD-4D4E-8830-0D57851D5F5C}"/>
            </c:ext>
          </c:extLst>
        </c:ser>
        <c:ser>
          <c:idx val="3"/>
          <c:order val="3"/>
          <c:tx>
            <c:v>Bates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Sheet1!$B$2:$B$13</c:f>
              <c:numCache>
                <c:formatCode>General</c:formatCode>
                <c:ptCount val="12"/>
                <c:pt idx="0">
                  <c:v>395</c:v>
                </c:pt>
                <c:pt idx="1">
                  <c:v>400</c:v>
                </c:pt>
                <c:pt idx="2">
                  <c:v>405</c:v>
                </c:pt>
                <c:pt idx="3">
                  <c:v>410</c:v>
                </c:pt>
                <c:pt idx="4">
                  <c:v>415</c:v>
                </c:pt>
                <c:pt idx="5">
                  <c:v>420</c:v>
                </c:pt>
                <c:pt idx="6">
                  <c:v>425</c:v>
                </c:pt>
                <c:pt idx="7">
                  <c:v>430</c:v>
                </c:pt>
                <c:pt idx="8">
                  <c:v>435</c:v>
                </c:pt>
                <c:pt idx="9">
                  <c:v>440</c:v>
                </c:pt>
                <c:pt idx="10">
                  <c:v>445</c:v>
                </c:pt>
                <c:pt idx="11">
                  <c:v>450</c:v>
                </c:pt>
              </c:numCache>
            </c:numRef>
          </c:xVal>
          <c:yVal>
            <c:numRef>
              <c:f>Sheet1!$F$2:$F$13</c:f>
              <c:numCache>
                <c:formatCode>General</c:formatCode>
                <c:ptCount val="12"/>
                <c:pt idx="0">
                  <c:v>30.69</c:v>
                </c:pt>
                <c:pt idx="1">
                  <c:v>26.13</c:v>
                </c:pt>
                <c:pt idx="2">
                  <c:v>21.81</c:v>
                </c:pt>
                <c:pt idx="3">
                  <c:v>17.8</c:v>
                </c:pt>
                <c:pt idx="4">
                  <c:v>14.17</c:v>
                </c:pt>
                <c:pt idx="5">
                  <c:v>10.99</c:v>
                </c:pt>
                <c:pt idx="6">
                  <c:v>8.2799999999999994</c:v>
                </c:pt>
                <c:pt idx="7">
                  <c:v>6.05</c:v>
                </c:pt>
                <c:pt idx="8">
                  <c:v>4.29</c:v>
                </c:pt>
                <c:pt idx="9">
                  <c:v>2.94</c:v>
                </c:pt>
                <c:pt idx="10">
                  <c:v>1.96</c:v>
                </c:pt>
                <c:pt idx="11">
                  <c:v>1.26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FD-4D4E-8830-0D57851D5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374831"/>
        <c:axId val="766375791"/>
      </c:scatterChart>
      <c:valAx>
        <c:axId val="76637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75791"/>
        <c:crosses val="autoZero"/>
        <c:crossBetween val="midCat"/>
      </c:valAx>
      <c:valAx>
        <c:axId val="76637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7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18</xdr:row>
      <xdr:rowOff>69532</xdr:rowOff>
    </xdr:from>
    <xdr:to>
      <xdr:col>17</xdr:col>
      <xdr:colOff>457200</xdr:colOff>
      <xdr:row>33</xdr:row>
      <xdr:rowOff>94297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5C027E-8ED9-14F5-8810-9B1074D68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D2C1-EDCA-4EEF-AA63-0300F4C5DE19}">
  <dimension ref="A1:H37"/>
  <sheetViews>
    <sheetView tabSelected="1" topLeftCell="A11" workbookViewId="0">
      <selection activeCell="M40" sqref="M40"/>
    </sheetView>
  </sheetViews>
  <sheetFormatPr defaultRowHeight="14.4" x14ac:dyDescent="0.3"/>
  <cols>
    <col min="4" max="4" width="11.88671875" bestFit="1" customWidth="1"/>
    <col min="9" max="9" width="10" bestFit="1" customWidth="1"/>
    <col min="10" max="10" width="8.77734375" bestFit="1" customWidth="1"/>
    <col min="13" max="13" width="11.5546875" bestFit="1" customWidth="1"/>
  </cols>
  <sheetData>
    <row r="1" spans="1:8" x14ac:dyDescent="0.3">
      <c r="A1" t="s">
        <v>6</v>
      </c>
      <c r="B1" t="s">
        <v>0</v>
      </c>
      <c r="C1" t="s">
        <v>1</v>
      </c>
      <c r="D1" t="s">
        <v>5</v>
      </c>
      <c r="E1" t="s">
        <v>2</v>
      </c>
      <c r="F1" t="s">
        <v>3</v>
      </c>
      <c r="G1" t="s">
        <v>7</v>
      </c>
      <c r="H1" t="s">
        <v>4</v>
      </c>
    </row>
    <row r="2" spans="1:8" x14ac:dyDescent="0.3">
      <c r="A2">
        <v>423.95</v>
      </c>
      <c r="B2">
        <v>395</v>
      </c>
      <c r="C2">
        <v>24</v>
      </c>
      <c r="D2">
        <v>30.75</v>
      </c>
      <c r="E2">
        <v>31.12</v>
      </c>
      <c r="F2">
        <v>30.69</v>
      </c>
      <c r="G2">
        <v>445.2</v>
      </c>
      <c r="H2">
        <f>(2.718281828^(-(0.0475*C2/365)))*MAX(0,G2-B2)</f>
        <v>50.04345555285802</v>
      </c>
    </row>
    <row r="3" spans="1:8" x14ac:dyDescent="0.3">
      <c r="A3">
        <v>423.95</v>
      </c>
      <c r="B3">
        <v>400</v>
      </c>
      <c r="C3">
        <v>24</v>
      </c>
      <c r="D3">
        <v>25.88</v>
      </c>
      <c r="E3">
        <v>26.72</v>
      </c>
      <c r="F3">
        <v>26.13</v>
      </c>
      <c r="G3">
        <v>445.2</v>
      </c>
      <c r="H3">
        <f>(2.718281828^(-(0.0475*C3/365)))*MAX(0,G3-B3)</f>
        <v>45.05904762926658</v>
      </c>
    </row>
    <row r="4" spans="1:8" x14ac:dyDescent="0.3">
      <c r="A4">
        <v>423.95</v>
      </c>
      <c r="B4">
        <v>405</v>
      </c>
      <c r="C4">
        <v>24</v>
      </c>
      <c r="D4">
        <v>21</v>
      </c>
      <c r="E4">
        <v>22.57</v>
      </c>
      <c r="F4">
        <v>21.81</v>
      </c>
      <c r="G4">
        <v>445.2</v>
      </c>
      <c r="H4">
        <f t="shared" ref="H4:H37" si="0">(2.718281828^(-(0.0475*C4/365)))*MAX(0,G4-B4)</f>
        <v>40.074639705675146</v>
      </c>
    </row>
    <row r="5" spans="1:8" x14ac:dyDescent="0.3">
      <c r="A5">
        <v>423.95</v>
      </c>
      <c r="B5">
        <v>410</v>
      </c>
      <c r="C5">
        <v>24</v>
      </c>
      <c r="D5">
        <v>16.5</v>
      </c>
      <c r="E5">
        <v>18.72</v>
      </c>
      <c r="F5">
        <v>17.8</v>
      </c>
      <c r="G5">
        <v>445.2</v>
      </c>
      <c r="H5">
        <f t="shared" si="0"/>
        <v>35.090231782083706</v>
      </c>
    </row>
    <row r="6" spans="1:8" x14ac:dyDescent="0.3">
      <c r="A6">
        <v>423.95</v>
      </c>
      <c r="B6">
        <v>415</v>
      </c>
      <c r="C6">
        <v>24</v>
      </c>
      <c r="D6">
        <v>11.88</v>
      </c>
      <c r="E6">
        <v>15.23</v>
      </c>
      <c r="F6">
        <v>14.17</v>
      </c>
      <c r="G6">
        <v>445.2</v>
      </c>
      <c r="H6">
        <f t="shared" si="0"/>
        <v>30.105823858492272</v>
      </c>
    </row>
    <row r="7" spans="1:8" x14ac:dyDescent="0.3">
      <c r="A7">
        <v>423.95</v>
      </c>
      <c r="B7">
        <v>420</v>
      </c>
      <c r="C7">
        <v>24</v>
      </c>
      <c r="D7">
        <v>7.69</v>
      </c>
      <c r="E7">
        <v>12.14</v>
      </c>
      <c r="F7">
        <v>10.99</v>
      </c>
      <c r="G7">
        <v>445.2</v>
      </c>
      <c r="H7">
        <f t="shared" si="0"/>
        <v>25.121415934900831</v>
      </c>
    </row>
    <row r="8" spans="1:8" x14ac:dyDescent="0.3">
      <c r="A8">
        <v>423.95</v>
      </c>
      <c r="B8">
        <v>425</v>
      </c>
      <c r="C8">
        <v>24</v>
      </c>
      <c r="D8">
        <v>4.4400000000000004</v>
      </c>
      <c r="E8">
        <v>9.4700000000000006</v>
      </c>
      <c r="F8">
        <v>8.2799999999999994</v>
      </c>
      <c r="G8">
        <v>445.2</v>
      </c>
      <c r="H8">
        <f t="shared" si="0"/>
        <v>20.137008011309394</v>
      </c>
    </row>
    <row r="9" spans="1:8" x14ac:dyDescent="0.3">
      <c r="A9">
        <v>423.95</v>
      </c>
      <c r="B9">
        <v>430</v>
      </c>
      <c r="C9">
        <v>24</v>
      </c>
      <c r="D9">
        <v>2.1</v>
      </c>
      <c r="E9">
        <v>7.22</v>
      </c>
      <c r="F9">
        <v>6.05</v>
      </c>
      <c r="G9">
        <v>445.2</v>
      </c>
      <c r="H9">
        <f t="shared" si="0"/>
        <v>15.152600087717959</v>
      </c>
    </row>
    <row r="10" spans="1:8" x14ac:dyDescent="0.3">
      <c r="A10">
        <v>423.95</v>
      </c>
      <c r="B10">
        <v>435</v>
      </c>
      <c r="C10">
        <v>24</v>
      </c>
      <c r="D10">
        <v>0.78</v>
      </c>
      <c r="E10">
        <v>5.39</v>
      </c>
      <c r="F10">
        <v>4.29</v>
      </c>
      <c r="G10">
        <v>445.2</v>
      </c>
      <c r="H10">
        <f t="shared" si="0"/>
        <v>10.168192164126522</v>
      </c>
    </row>
    <row r="11" spans="1:8" x14ac:dyDescent="0.3">
      <c r="A11">
        <v>423.95</v>
      </c>
      <c r="B11">
        <v>440</v>
      </c>
      <c r="C11">
        <v>24</v>
      </c>
      <c r="D11">
        <v>0.25</v>
      </c>
      <c r="E11">
        <v>3.93</v>
      </c>
      <c r="F11">
        <v>2.94</v>
      </c>
      <c r="G11">
        <v>445.2</v>
      </c>
      <c r="H11">
        <f t="shared" si="0"/>
        <v>5.1837842405350836</v>
      </c>
    </row>
    <row r="12" spans="1:8" x14ac:dyDescent="0.3">
      <c r="A12">
        <v>423.95</v>
      </c>
      <c r="B12">
        <v>445</v>
      </c>
      <c r="C12">
        <v>24</v>
      </c>
      <c r="D12" s="1">
        <v>0.1</v>
      </c>
      <c r="E12">
        <v>2.8</v>
      </c>
      <c r="F12">
        <v>1.96</v>
      </c>
      <c r="G12">
        <v>445.2</v>
      </c>
      <c r="H12">
        <f t="shared" si="0"/>
        <v>0.19937631694364616</v>
      </c>
    </row>
    <row r="13" spans="1:8" x14ac:dyDescent="0.3">
      <c r="A13">
        <v>423.95</v>
      </c>
      <c r="B13">
        <v>450</v>
      </c>
      <c r="C13">
        <v>24</v>
      </c>
      <c r="D13" s="1">
        <v>0.1</v>
      </c>
      <c r="E13">
        <v>1.95</v>
      </c>
      <c r="F13">
        <v>1.26</v>
      </c>
      <c r="G13">
        <v>445.2</v>
      </c>
      <c r="H13">
        <f t="shared" si="0"/>
        <v>0</v>
      </c>
    </row>
    <row r="14" spans="1:8" x14ac:dyDescent="0.3">
      <c r="A14">
        <v>423.95</v>
      </c>
      <c r="B14">
        <v>395</v>
      </c>
      <c r="C14">
        <v>87</v>
      </c>
      <c r="D14">
        <v>33</v>
      </c>
      <c r="E14">
        <v>39.06</v>
      </c>
      <c r="F14">
        <v>37.479999999999997</v>
      </c>
      <c r="G14">
        <v>450.73</v>
      </c>
      <c r="H14">
        <f t="shared" si="0"/>
        <v>55.102587976431501</v>
      </c>
    </row>
    <row r="15" spans="1:8" x14ac:dyDescent="0.3">
      <c r="A15">
        <v>423.95</v>
      </c>
      <c r="B15">
        <v>400</v>
      </c>
      <c r="C15">
        <v>87</v>
      </c>
      <c r="D15">
        <v>28.5</v>
      </c>
      <c r="E15">
        <v>35.39</v>
      </c>
      <c r="F15">
        <v>33.65</v>
      </c>
      <c r="G15">
        <v>450.73</v>
      </c>
      <c r="H15">
        <f t="shared" si="0"/>
        <v>50.15887830691495</v>
      </c>
    </row>
    <row r="16" spans="1:8" x14ac:dyDescent="0.3">
      <c r="A16">
        <v>423.95</v>
      </c>
      <c r="B16">
        <v>405</v>
      </c>
      <c r="C16">
        <v>87</v>
      </c>
      <c r="D16">
        <v>24.13</v>
      </c>
      <c r="E16">
        <v>31.9</v>
      </c>
      <c r="F16">
        <v>30.02</v>
      </c>
      <c r="G16">
        <v>450.73</v>
      </c>
      <c r="H16">
        <f t="shared" si="0"/>
        <v>45.215168637398399</v>
      </c>
    </row>
    <row r="17" spans="1:8" x14ac:dyDescent="0.3">
      <c r="A17">
        <v>423.95</v>
      </c>
      <c r="B17">
        <v>410</v>
      </c>
      <c r="C17">
        <v>87</v>
      </c>
      <c r="D17">
        <v>20.38</v>
      </c>
      <c r="E17">
        <v>28.62</v>
      </c>
      <c r="F17">
        <v>26.62</v>
      </c>
      <c r="G17">
        <v>450.73</v>
      </c>
      <c r="H17">
        <f t="shared" si="0"/>
        <v>40.271458967881848</v>
      </c>
    </row>
    <row r="18" spans="1:8" x14ac:dyDescent="0.3">
      <c r="A18">
        <v>423.95</v>
      </c>
      <c r="B18">
        <v>415</v>
      </c>
      <c r="C18">
        <v>87</v>
      </c>
      <c r="D18">
        <v>16.13</v>
      </c>
      <c r="E18">
        <v>25.55</v>
      </c>
      <c r="F18">
        <v>23.44</v>
      </c>
      <c r="G18">
        <v>450.73</v>
      </c>
      <c r="H18">
        <f t="shared" si="0"/>
        <v>35.327749298365298</v>
      </c>
    </row>
    <row r="19" spans="1:8" x14ac:dyDescent="0.3">
      <c r="A19">
        <v>423.95</v>
      </c>
      <c r="B19">
        <v>420</v>
      </c>
      <c r="C19">
        <v>87</v>
      </c>
      <c r="D19">
        <v>12.82</v>
      </c>
      <c r="E19">
        <v>22.7</v>
      </c>
      <c r="F19">
        <v>20.51</v>
      </c>
      <c r="G19">
        <v>450.73</v>
      </c>
      <c r="H19">
        <f t="shared" si="0"/>
        <v>30.384039628848743</v>
      </c>
    </row>
    <row r="20" spans="1:8" x14ac:dyDescent="0.3">
      <c r="A20">
        <v>423.95</v>
      </c>
      <c r="B20">
        <v>425</v>
      </c>
      <c r="C20">
        <v>87</v>
      </c>
      <c r="D20">
        <v>9.32</v>
      </c>
      <c r="E20">
        <v>20.059999999999999</v>
      </c>
      <c r="F20">
        <v>17.82</v>
      </c>
      <c r="G20">
        <v>450.73</v>
      </c>
      <c r="H20">
        <f t="shared" si="0"/>
        <v>25.440329959332193</v>
      </c>
    </row>
    <row r="21" spans="1:8" x14ac:dyDescent="0.3">
      <c r="A21">
        <v>423.95</v>
      </c>
      <c r="B21">
        <v>430</v>
      </c>
      <c r="C21">
        <v>87</v>
      </c>
      <c r="D21">
        <v>6.51</v>
      </c>
      <c r="E21">
        <v>17.64</v>
      </c>
      <c r="F21">
        <v>15.38</v>
      </c>
      <c r="G21">
        <v>450.73</v>
      </c>
      <c r="H21">
        <f t="shared" si="0"/>
        <v>20.496620289815642</v>
      </c>
    </row>
    <row r="22" spans="1:8" x14ac:dyDescent="0.3">
      <c r="A22">
        <v>423.95</v>
      </c>
      <c r="B22">
        <v>435</v>
      </c>
      <c r="C22">
        <v>87</v>
      </c>
      <c r="D22">
        <v>4.51</v>
      </c>
      <c r="E22">
        <v>15.43</v>
      </c>
      <c r="F22">
        <v>13.18</v>
      </c>
      <c r="G22">
        <v>450.73</v>
      </c>
      <c r="H22">
        <f t="shared" si="0"/>
        <v>15.552910620299089</v>
      </c>
    </row>
    <row r="23" spans="1:8" x14ac:dyDescent="0.3">
      <c r="A23">
        <v>423.95</v>
      </c>
      <c r="B23">
        <v>440</v>
      </c>
      <c r="C23">
        <v>87</v>
      </c>
      <c r="D23">
        <v>2.75</v>
      </c>
      <c r="E23">
        <v>13.43</v>
      </c>
      <c r="F23">
        <v>11.21</v>
      </c>
      <c r="G23">
        <v>450.73</v>
      </c>
      <c r="H23">
        <f t="shared" si="0"/>
        <v>10.609200950782538</v>
      </c>
    </row>
    <row r="24" spans="1:8" x14ac:dyDescent="0.3">
      <c r="A24">
        <v>423.95</v>
      </c>
      <c r="B24">
        <v>445</v>
      </c>
      <c r="C24">
        <v>87</v>
      </c>
      <c r="D24">
        <v>1.6</v>
      </c>
      <c r="E24">
        <v>11.64</v>
      </c>
      <c r="F24">
        <v>9.48</v>
      </c>
      <c r="G24">
        <v>450.73</v>
      </c>
      <c r="H24">
        <f t="shared" si="0"/>
        <v>5.6654912812659859</v>
      </c>
    </row>
    <row r="25" spans="1:8" x14ac:dyDescent="0.3">
      <c r="A25">
        <v>423.95</v>
      </c>
      <c r="B25">
        <v>450</v>
      </c>
      <c r="C25">
        <v>87</v>
      </c>
      <c r="D25">
        <v>0.85</v>
      </c>
      <c r="E25">
        <v>10.029999999999999</v>
      </c>
      <c r="F25">
        <v>7.95</v>
      </c>
      <c r="G25">
        <v>450.73</v>
      </c>
      <c r="H25">
        <f>(2.718281828^(-(0.0475*C25/365)))*MAX(0,G25-B25)</f>
        <v>0.72178161174943456</v>
      </c>
    </row>
    <row r="26" spans="1:8" x14ac:dyDescent="0.3">
      <c r="A26">
        <v>423.95</v>
      </c>
      <c r="B26">
        <v>395</v>
      </c>
      <c r="C26">
        <v>115</v>
      </c>
      <c r="D26">
        <v>33.75</v>
      </c>
      <c r="E26">
        <v>42.13</v>
      </c>
      <c r="F26">
        <v>40.229999999999997</v>
      </c>
      <c r="G26">
        <v>464.1</v>
      </c>
      <c r="H26">
        <f t="shared" si="0"/>
        <v>68.073566273341072</v>
      </c>
    </row>
    <row r="27" spans="1:8" x14ac:dyDescent="0.3">
      <c r="A27">
        <v>423.95</v>
      </c>
      <c r="B27">
        <v>400</v>
      </c>
      <c r="C27">
        <v>115</v>
      </c>
      <c r="D27">
        <v>29.38</v>
      </c>
      <c r="E27">
        <v>38.58</v>
      </c>
      <c r="F27">
        <v>36.53</v>
      </c>
      <c r="G27">
        <v>464.1</v>
      </c>
      <c r="H27">
        <f t="shared" si="0"/>
        <v>63.147837888873553</v>
      </c>
    </row>
    <row r="28" spans="1:8" x14ac:dyDescent="0.3">
      <c r="A28">
        <v>423.95</v>
      </c>
      <c r="B28">
        <v>405</v>
      </c>
      <c r="C28">
        <v>115</v>
      </c>
      <c r="D28">
        <v>24.34</v>
      </c>
      <c r="E28">
        <v>35.21</v>
      </c>
      <c r="F28">
        <v>33.020000000000003</v>
      </c>
      <c r="G28">
        <v>464.1</v>
      </c>
      <c r="H28">
        <f t="shared" si="0"/>
        <v>58.222109504406042</v>
      </c>
    </row>
    <row r="29" spans="1:8" x14ac:dyDescent="0.3">
      <c r="A29">
        <v>423.95</v>
      </c>
      <c r="B29">
        <v>410</v>
      </c>
      <c r="C29">
        <v>115</v>
      </c>
      <c r="D29">
        <v>20.9</v>
      </c>
      <c r="E29">
        <v>32.020000000000003</v>
      </c>
      <c r="F29">
        <v>29.7</v>
      </c>
      <c r="G29">
        <v>464.1</v>
      </c>
      <c r="H29">
        <f>(2.718281828^(-(0.0475*C29/365)))*MAX(0,G29-B29)</f>
        <v>53.296381119938523</v>
      </c>
    </row>
    <row r="30" spans="1:8" x14ac:dyDescent="0.3">
      <c r="A30">
        <v>423.95</v>
      </c>
      <c r="B30">
        <v>415</v>
      </c>
      <c r="C30">
        <v>115</v>
      </c>
      <c r="D30">
        <v>16.940000000000001</v>
      </c>
      <c r="E30">
        <v>29</v>
      </c>
      <c r="F30">
        <v>26.59</v>
      </c>
      <c r="G30">
        <v>464.1</v>
      </c>
      <c r="H30">
        <f t="shared" si="0"/>
        <v>48.370652735471012</v>
      </c>
    </row>
    <row r="31" spans="1:8" x14ac:dyDescent="0.3">
      <c r="A31">
        <v>423.95</v>
      </c>
      <c r="B31">
        <v>420</v>
      </c>
      <c r="C31">
        <v>115</v>
      </c>
      <c r="D31">
        <v>13.88</v>
      </c>
      <c r="E31">
        <v>26.18</v>
      </c>
      <c r="F31">
        <v>23.69</v>
      </c>
      <c r="G31">
        <v>464.1</v>
      </c>
      <c r="H31">
        <f t="shared" si="0"/>
        <v>43.4449243510035</v>
      </c>
    </row>
    <row r="32" spans="1:8" x14ac:dyDescent="0.3">
      <c r="A32">
        <v>423.95</v>
      </c>
      <c r="B32">
        <v>425</v>
      </c>
      <c r="C32">
        <v>115</v>
      </c>
      <c r="D32">
        <v>11.01</v>
      </c>
      <c r="E32">
        <v>23.55</v>
      </c>
      <c r="F32">
        <v>21</v>
      </c>
      <c r="G32">
        <v>464.1</v>
      </c>
      <c r="H32">
        <f t="shared" si="0"/>
        <v>38.519195966535982</v>
      </c>
    </row>
    <row r="33" spans="1:8" x14ac:dyDescent="0.3">
      <c r="A33">
        <v>423.95</v>
      </c>
      <c r="B33">
        <v>430</v>
      </c>
      <c r="C33">
        <v>115</v>
      </c>
      <c r="D33">
        <v>8.1300000000000008</v>
      </c>
      <c r="E33">
        <v>21.1</v>
      </c>
      <c r="F33">
        <v>18.52</v>
      </c>
      <c r="G33">
        <v>464.1</v>
      </c>
      <c r="H33">
        <f t="shared" si="0"/>
        <v>33.59346758206847</v>
      </c>
    </row>
    <row r="34" spans="1:8" x14ac:dyDescent="0.3">
      <c r="A34">
        <v>423.95</v>
      </c>
      <c r="B34">
        <v>435</v>
      </c>
      <c r="C34">
        <v>115</v>
      </c>
      <c r="D34">
        <v>5.4</v>
      </c>
      <c r="E34">
        <v>18.84</v>
      </c>
      <c r="F34">
        <v>16.260000000000002</v>
      </c>
      <c r="G34">
        <v>464.1</v>
      </c>
      <c r="H34">
        <f t="shared" si="0"/>
        <v>28.667739197600955</v>
      </c>
    </row>
    <row r="35" spans="1:8" x14ac:dyDescent="0.3">
      <c r="A35">
        <v>423.95</v>
      </c>
      <c r="B35">
        <v>440</v>
      </c>
      <c r="C35">
        <v>115</v>
      </c>
      <c r="D35">
        <v>3.88</v>
      </c>
      <c r="E35">
        <v>16.760000000000002</v>
      </c>
      <c r="F35">
        <v>14.2</v>
      </c>
      <c r="G35">
        <v>464.1</v>
      </c>
      <c r="H35">
        <f t="shared" si="0"/>
        <v>23.74201081313344</v>
      </c>
    </row>
    <row r="36" spans="1:8" x14ac:dyDescent="0.3">
      <c r="A36">
        <v>423.95</v>
      </c>
      <c r="B36">
        <v>445</v>
      </c>
      <c r="C36">
        <v>115</v>
      </c>
      <c r="D36">
        <v>1.94</v>
      </c>
      <c r="E36">
        <v>14.85</v>
      </c>
      <c r="F36">
        <v>12.33</v>
      </c>
      <c r="G36">
        <v>464.1</v>
      </c>
      <c r="H36">
        <f t="shared" si="0"/>
        <v>18.816282428665925</v>
      </c>
    </row>
    <row r="37" spans="1:8" x14ac:dyDescent="0.3">
      <c r="A37">
        <v>423.95</v>
      </c>
      <c r="B37">
        <v>450</v>
      </c>
      <c r="C37">
        <v>115</v>
      </c>
      <c r="D37">
        <v>1.5</v>
      </c>
      <c r="E37">
        <v>13.12</v>
      </c>
      <c r="F37">
        <v>10.66</v>
      </c>
      <c r="G37">
        <v>464.1</v>
      </c>
      <c r="H37">
        <f t="shared" si="0"/>
        <v>13.890554044198412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Dirirsa, Naboth</dc:creator>
  <cp:lastModifiedBy>Dirirsa, Naboth</cp:lastModifiedBy>
  <dcterms:created xsi:type="dcterms:W3CDTF">2025-05-19T10:31:58Z</dcterms:created>
  <dcterms:modified xsi:type="dcterms:W3CDTF">2025-06-01T22:03:45Z</dcterms:modified>
</cp:coreProperties>
</file>